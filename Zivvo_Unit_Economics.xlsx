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Break-even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<sst xmlns="http://schemas.openxmlformats.org/spreadsheetml/2006/main" count="71" uniqueCount="65">
  <si>
    <t xml:space="preserve">Zivvo — Unit Economics Model</t>
  </si>
  <si>
    <t xml:space="preserve">Australian rates  ·  blue/yellow cells are inputs you can change  ·  all else calculates automatically</t>
  </si>
  <si>
    <t xml:space="preserve">ASSUMPTIONS</t>
  </si>
  <si>
    <t xml:space="preserve">Standard price (before discount)</t>
  </si>
  <si>
    <t xml:space="preserve">Venue's normal price for the slot</t>
  </si>
  <si>
    <t xml:space="preserve">Off-peak discount</t>
  </si>
  <si>
    <t xml:space="preserve">Markdown the venue offers off-peak</t>
  </si>
  <si>
    <t xml:space="preserve">Venue commission rate</t>
  </si>
  <si>
    <t xml:space="preserve">Zivvo's only revenue source; Groupon is 35–50%</t>
  </si>
  <si>
    <t xml:space="preserve">Stripe % fee (AU domestic card)</t>
  </si>
  <si>
    <t xml:space="preserve">Stripe Connect standard AU rate</t>
  </si>
  <si>
    <t xml:space="preserve">Stripe fixed fee per transaction</t>
  </si>
  <si>
    <t xml:space="preserve">Per-transaction flat component</t>
  </si>
  <si>
    <t xml:space="preserve">SINGLE BOOKING — WATERFALL</t>
  </si>
  <si>
    <t xml:space="preserve">Line item</t>
  </si>
  <si>
    <t xml:space="preserve">Amount</t>
  </si>
  <si>
    <t xml:space="preserve">Basis</t>
  </si>
  <si>
    <t xml:space="preserve">Venue's normal slot price</t>
  </si>
  <si>
    <t xml:space="preserve">Less: off-peak discount</t>
  </si>
  <si>
    <t xml:space="preserve">Discount % × standard price</t>
  </si>
  <si>
    <t xml:space="preserve">Deal price shown in app = consumer pays</t>
  </si>
  <si>
    <t xml:space="preserve">What the customer is charged</t>
  </si>
  <si>
    <t xml:space="preserve">Venue commission</t>
  </si>
  <si>
    <t xml:space="preserve">Commission % × deal price</t>
  </si>
  <si>
    <t xml:space="preserve">Less: Stripe processing</t>
  </si>
  <si>
    <t xml:space="preserve">% of deal price + fixed fee</t>
  </si>
  <si>
    <t xml:space="preserve">Net platform contribution</t>
  </si>
  <si>
    <t xml:space="preserve">Per booking, before overhead</t>
  </si>
  <si>
    <t xml:space="preserve">Venue receives</t>
  </si>
  <si>
    <t xml:space="preserve">Deal price less commission</t>
  </si>
  <si>
    <t xml:space="preserve">KEY OUTPUTS</t>
  </si>
  <si>
    <t xml:space="preserve">Net contribution per booking</t>
  </si>
  <si>
    <t xml:space="preserve">The headline number</t>
  </si>
  <si>
    <t xml:space="preserve">Platform take as % of deal price</t>
  </si>
  <si>
    <t xml:space="preserve">Effective net margin on the transaction</t>
  </si>
  <si>
    <t xml:space="preserve">Consumer saving vs standard price</t>
  </si>
  <si>
    <t xml:space="preserve">What the customer sees they saved</t>
  </si>
  <si>
    <t xml:space="preserve">Zivvo — Break-even &amp; Monthly View</t>
  </si>
  <si>
    <t xml:space="preserve">MONTHLY ASSUMPTIONS</t>
  </si>
  <si>
    <t xml:space="preserve">Pulled from Model sheet</t>
  </si>
  <si>
    <t xml:space="preserve">Avg bookings per venue per month</t>
  </si>
  <si>
    <t xml:space="preserve">Conservative early estimate</t>
  </si>
  <si>
    <t xml:space="preserve">Number of live venues</t>
  </si>
  <si>
    <t xml:space="preserve">Launch density target</t>
  </si>
  <si>
    <t xml:space="preserve">Monthly fixed costs</t>
  </si>
  <si>
    <t xml:space="preserve">Hosting, tooling, ops, subscriptions</t>
  </si>
  <si>
    <t xml:space="preserve">MONTHLY RESULT</t>
  </si>
  <si>
    <t xml:space="preserve">Total monthly bookings</t>
  </si>
  <si>
    <t xml:space="preserve">Gross monthly contribution</t>
  </si>
  <si>
    <t xml:space="preserve">Net monthly profit (after fixed costs)</t>
  </si>
  <si>
    <t xml:space="preserve">BREAK-EVEN</t>
  </si>
  <si>
    <t xml:space="preserve">Bookings/month to break even</t>
  </si>
  <si>
    <t xml:space="preserve">Fixed costs ÷ net contribution per booking</t>
  </si>
  <si>
    <t xml:space="preserve">Venues needed at this booking rate</t>
  </si>
  <si>
    <t xml:space="preserve">Break-even bookings ÷ bookings per venue</t>
  </si>
  <si>
    <t xml:space="preserve">Note: change any yellow input on either sheet and every figure updates. All currency in A$ (AUD).</t>
  </si>
  <si>
    <t xml:space="preserve">Zivvo — Booking-Size Scenarios</t>
  </si>
  <si>
    <t xml:space="preserve">Compares net contribution across booking sizes. Deal price is the only input that changes; rates link to the Model sheet.</t>
  </si>
  <si>
    <t xml:space="preserve">Single (A$20)</t>
  </si>
  <si>
    <t xml:space="preserve">Standard (A$48)</t>
  </si>
  <si>
    <t xml:space="preserve">Group (A$120)</t>
  </si>
  <si>
    <t xml:space="preserve">Deal price = consumer pays (input)</t>
  </si>
  <si>
    <t xml:space="preserve">Venue commission (18%)</t>
  </si>
  <si>
    <t xml:space="preserve">Net take as % of deal price</t>
  </si>
  <si>
    <t xml:space="preserve">Takeaway: net contribution scales with booking size — group/party bookings are the economically decisive segment.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</si>
</sst>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A$&quot;#,##0.00"/>
    <numFmt numFmtId="166" formatCode="0.0%"/>
    <numFmt numFmtId="167" formatCode="#,##0"/>
    <numFmt numFmtId="168" formatCode="&quot;A$&quot;#,##0"/>
    <numFmt numFmtId="169" formatCode="#,##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F3A8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C5C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A8A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8A"/>
        <bgColor rgb="FF003366"/>
      </patternFill>
    </fill>
    <fill>
      <patternFill patternType="solid">
        <fgColor rgb="FFF1F1F4"/>
        <bgColor rgb="FFEAEEF8"/>
      </patternFill>
    </fill>
    <fill>
      <patternFill patternType="solid">
        <fgColor rgb="FFFFF8DC"/>
        <bgColor rgb="FFF8F0DD"/>
      </patternFill>
    </fill>
    <fill>
      <patternFill patternType="solid">
        <fgColor rgb="FFEAEEF8"/>
        <bgColor rgb="FFF1F1F4"/>
      </patternFill>
    </fill>
    <fill>
      <patternFill patternType="solid">
        <fgColor rgb="FFE6F4EE"/>
        <bgColor rgb="FFEAEEF8"/>
      </patternFill>
    </fill>
    <fill>
      <patternFill patternType="solid">
        <fgColor rgb="FFF8F0DD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5DE"/>
      </left>
      <right style="thin">
        <color rgb="FFD5D5DE"/>
      </right>
      <top style="thin">
        <color rgb="FFD5D5DE"/>
      </top>
      <bottom style="thin">
        <color rgb="FFD5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E6F4EE"/>
      <rgbColor rgb="FF660066"/>
      <rgbColor rgb="FFFF8080"/>
      <rgbColor rgb="FF0066CC"/>
      <rgbColor rgb="FFD5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8"/>
      <rgbColor rgb="FFF1F1F4"/>
      <rgbColor rgb="FFF8F0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C6B"/>
      <rgbColor rgb="FF969696"/>
      <rgbColor rgb="FF003366"/>
      <rgbColor rgb="FF339966"/>
      <rgbColor rgb="FF003300"/>
      <rgbColor rgb="FF333300"/>
      <rgbColor rgb="FF993300"/>
      <rgbColor rgb="FF993366"/>
      <rgbColor rgb="FF1F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"/>
    <col collapsed="false" customWidth="true" hidden="false" outlineLevel="0" max="6" min="6" style="0" width="30"/>
    <col collapsed="false" customWidth="true" hidden="false" outlineLevel="0" max="7" min="7" style="0" width="1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</row>
    <row r="2" customFormat="false" ht="15.75" hidden="false" customHeight="true" outlineLevel="0" collapsed="false">
      <c r="B2" s="2" t="s">
        <v>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</row>
    <row r="5" customFormat="false" ht="22.35" hidden="false" customHeight="false" outlineLevel="0" collapsed="false">
      <c r="B5" s="4" t="s">
        <v>3</v>
      </c>
      <c r="C5" s="5" t="n">
        <v>60</v>
      </c>
      <c r="D5" s="6" t="s">
        <v>4</v>
      </c>
    </row>
    <row r="6" customFormat="false" ht="22.35" hidden="false" customHeight="false" outlineLevel="0" collapsed="false">
      <c r="B6" s="4" t="s">
        <v>5</v>
      </c>
      <c r="C6" s="7" t="n">
        <v>0.2</v>
      </c>
      <c r="D6" s="6" t="s">
        <v>6</v>
      </c>
    </row>
    <row r="7" customFormat="false" ht="22.35" hidden="false" customHeight="false" outlineLevel="0" collapsed="false">
      <c r="B7" s="4" t="s">
        <v>7</v>
      </c>
      <c r="C7" s="7" t="n">
        <v>0.18</v>
      </c>
      <c r="D7" s="6" t="s">
        <v>8</v>
      </c>
    </row>
    <row r="8" customFormat="false" ht="22.35" hidden="false" customHeight="false" outlineLevel="0" collapsed="false">
      <c r="B8" s="4" t="s">
        <v>9</v>
      </c>
      <c r="C8" s="7" t="n">
        <v>0.017</v>
      </c>
      <c r="D8" s="6" t="s">
        <v>10</v>
      </c>
    </row>
    <row r="9" customFormat="false" ht="22.35" hidden="false" customHeight="false" outlineLevel="0" collapsed="false">
      <c r="B9" s="4" t="s">
        <v>11</v>
      </c>
      <c r="C9" s="5" t="n">
        <v>0.3</v>
      </c>
      <c r="D9" s="6" t="s">
        <v>12</v>
      </c>
    </row>
    <row r="11" customFormat="false" ht="15" hidden="false" customHeight="false" outlineLevel="0" collapsed="false">
      <c r="B11" s="3" t="s">
        <v>13</v>
      </c>
    </row>
    <row r="12" customFormat="false" ht="15" hidden="false" customHeight="false" outlineLevel="0" collapsed="false">
      <c r="B12" s="8" t="s">
        <v>14</v>
      </c>
      <c r="C12" s="9" t="s">
        <v>15</v>
      </c>
      <c r="D12" s="8" t="s">
        <v>16</v>
      </c>
    </row>
    <row r="13" customFormat="false" ht="15" hidden="false" customHeight="false" outlineLevel="0" collapsed="false">
      <c r="B13" s="10" t="s">
        <v>3</v>
      </c>
      <c r="C13" s="11" t="n">
        <f aca="false">C5</f>
        <v>60</v>
      </c>
      <c r="D13" s="12" t="s">
        <v>17</v>
      </c>
    </row>
    <row r="14" customFormat="false" ht="15" hidden="false" customHeight="false" outlineLevel="0" collapsed="false">
      <c r="B14" s="4" t="s">
        <v>18</v>
      </c>
      <c r="C14" s="13" t="n">
        <f aca="false">-C5*C6</f>
        <v>-12</v>
      </c>
      <c r="D14" s="6" t="s">
        <v>19</v>
      </c>
    </row>
    <row r="15" customFormat="false" ht="22.35" hidden="false" customHeight="false" outlineLevel="0" collapsed="false">
      <c r="B15" s="14" t="s">
        <v>20</v>
      </c>
      <c r="C15" s="15" t="n">
        <f aca="false">C5+C14</f>
        <v>48</v>
      </c>
      <c r="D15" s="16" t="s">
        <v>21</v>
      </c>
    </row>
    <row r="16" customFormat="false" ht="15" hidden="false" customHeight="false" outlineLevel="0" collapsed="false">
      <c r="B16" s="4" t="s">
        <v>22</v>
      </c>
      <c r="C16" s="13" t="n">
        <f aca="false">C15*C7</f>
        <v>8.64</v>
      </c>
      <c r="D16" s="6" t="s">
        <v>23</v>
      </c>
    </row>
    <row r="17" customFormat="false" ht="15" hidden="false" customHeight="false" outlineLevel="0" collapsed="false">
      <c r="B17" s="10" t="s">
        <v>24</v>
      </c>
      <c r="C17" s="11" t="n">
        <f aca="false">-(C15*C8+C9)</f>
        <v>-1.116</v>
      </c>
      <c r="D17" s="12" t="s">
        <v>25</v>
      </c>
    </row>
    <row r="18" customFormat="false" ht="22.35" hidden="false" customHeight="false" outlineLevel="0" collapsed="false">
      <c r="B18" s="14" t="s">
        <v>26</v>
      </c>
      <c r="C18" s="15" t="n">
        <f aca="false">C16+C17</f>
        <v>7.524</v>
      </c>
      <c r="D18" s="16" t="s">
        <v>27</v>
      </c>
    </row>
    <row r="19" customFormat="false" ht="15" hidden="false" customHeight="false" outlineLevel="0" collapsed="false">
      <c r="B19" s="10" t="s">
        <v>28</v>
      </c>
      <c r="C19" s="11" t="n">
        <f aca="false">C15-C16</f>
        <v>39.36</v>
      </c>
      <c r="D19" s="12" t="s">
        <v>29</v>
      </c>
    </row>
    <row r="21" customFormat="false" ht="15" hidden="false" customHeight="false" outlineLevel="0" collapsed="false">
      <c r="B21" s="3" t="s">
        <v>30</v>
      </c>
    </row>
    <row r="22" customFormat="false" ht="15" hidden="false" customHeight="false" outlineLevel="0" collapsed="false">
      <c r="B22" s="17" t="s">
        <v>31</v>
      </c>
      <c r="C22" s="18" t="n">
        <f aca="false">C18</f>
        <v>7.524</v>
      </c>
      <c r="D22" s="19" t="s">
        <v>32</v>
      </c>
    </row>
    <row r="23" customFormat="false" ht="22.35" hidden="false" customHeight="false" outlineLevel="0" collapsed="false">
      <c r="B23" s="17" t="s">
        <v>33</v>
      </c>
      <c r="C23" s="20" t="n">
        <f aca="false">C18/C15</f>
        <v>0.15675</v>
      </c>
      <c r="D23" s="19" t="s">
        <v>34</v>
      </c>
    </row>
    <row r="24" customFormat="false" ht="22.35" hidden="false" customHeight="false" outlineLevel="0" collapsed="false">
      <c r="B24" s="17" t="s">
        <v>35</v>
      </c>
      <c r="C24" s="18" t="n">
        <f aca="false">-C14</f>
        <v>12</v>
      </c>
      <c r="D24" s="19" t="s">
        <v>36</v>
      </c>
    </row>
  </sheetData>
  <mergeCells count="2">
    <mergeCell ref="B1:G1"/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25.5" hidden="false" customHeight="true" outlineLevel="0" collapsed="false">
      <c r="B1" s="1" t="s">
        <v>37</v>
      </c>
      <c r="C1" s="1"/>
      <c r="D1" s="1"/>
    </row>
    <row r="3" customFormat="false" ht="15" hidden="false" customHeight="false" outlineLevel="0" collapsed="false">
      <c r="B3" s="3" t="s">
        <v>38</v>
      </c>
    </row>
    <row r="4" customFormat="false" ht="15" hidden="false" customHeight="false" outlineLevel="0" collapsed="false">
      <c r="B4" s="4" t="s">
        <v>31</v>
      </c>
      <c r="C4" s="11" t="n">
        <f aca="false">Model!C18</f>
        <v>7.524</v>
      </c>
      <c r="D4" s="6" t="s">
        <v>39</v>
      </c>
    </row>
    <row r="5" customFormat="false" ht="15" hidden="false" customHeight="false" outlineLevel="0" collapsed="false">
      <c r="B5" s="4" t="s">
        <v>40</v>
      </c>
      <c r="C5" s="21" t="n">
        <v>40</v>
      </c>
      <c r="D5" s="6" t="s">
        <v>41</v>
      </c>
    </row>
    <row r="6" customFormat="false" ht="15" hidden="false" customHeight="false" outlineLevel="0" collapsed="false">
      <c r="B6" s="4" t="s">
        <v>42</v>
      </c>
      <c r="C6" s="21" t="n">
        <v>15</v>
      </c>
      <c r="D6" s="6" t="s">
        <v>43</v>
      </c>
    </row>
    <row r="7" customFormat="false" ht="15" hidden="false" customHeight="false" outlineLevel="0" collapsed="false">
      <c r="B7" s="4" t="s">
        <v>44</v>
      </c>
      <c r="C7" s="22" t="n">
        <v>2500</v>
      </c>
      <c r="D7" s="6" t="s">
        <v>45</v>
      </c>
    </row>
    <row r="9" customFormat="false" ht="15" hidden="false" customHeight="false" outlineLevel="0" collapsed="false">
      <c r="B9" s="3" t="s">
        <v>46</v>
      </c>
    </row>
    <row r="10" customFormat="false" ht="15" hidden="false" customHeight="false" outlineLevel="0" collapsed="false">
      <c r="B10" s="23" t="s">
        <v>47</v>
      </c>
      <c r="C10" s="24" t="n">
        <f aca="false">C5*C6</f>
        <v>600</v>
      </c>
    </row>
    <row r="11" customFormat="false" ht="15" hidden="false" customHeight="false" outlineLevel="0" collapsed="false">
      <c r="B11" s="23" t="s">
        <v>48</v>
      </c>
      <c r="C11" s="25" t="n">
        <f aca="false">C10*C4</f>
        <v>4514.4</v>
      </c>
    </row>
    <row r="12" customFormat="false" ht="15" hidden="false" customHeight="false" outlineLevel="0" collapsed="false">
      <c r="B12" s="17" t="s">
        <v>49</v>
      </c>
      <c r="C12" s="26" t="n">
        <f aca="false">C11-C7</f>
        <v>2014.4</v>
      </c>
    </row>
    <row r="14" customFormat="false" ht="15" hidden="false" customHeight="false" outlineLevel="0" collapsed="false">
      <c r="B14" s="3" t="s">
        <v>50</v>
      </c>
    </row>
    <row r="15" customFormat="false" ht="22.35" hidden="false" customHeight="false" outlineLevel="0" collapsed="false">
      <c r="B15" s="27" t="s">
        <v>51</v>
      </c>
      <c r="C15" s="28" t="n">
        <f aca="false">C7/C4</f>
        <v>332.270069112174</v>
      </c>
      <c r="D15" s="29" t="s">
        <v>52</v>
      </c>
    </row>
    <row r="16" customFormat="false" ht="22.35" hidden="false" customHeight="false" outlineLevel="0" collapsed="false">
      <c r="B16" s="27" t="s">
        <v>53</v>
      </c>
      <c r="C16" s="30" t="n">
        <f aca="false">(C7/C4)/C5</f>
        <v>8.30675172780436</v>
      </c>
      <c r="D16" s="29" t="s">
        <v>54</v>
      </c>
    </row>
    <row r="19" customFormat="false" ht="15" hidden="false" customHeight="false" outlineLevel="0" collapsed="false">
      <c r="B19" s="31" t="s">
        <v>55</v>
      </c>
    </row>
  </sheetData>
  <mergeCells count="1">
    <mergeCell ref="B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6"/>
  </cols>
  <sheetData>
    <row r="1" customFormat="false" ht="25.5" hidden="false" customHeight="true" outlineLevel="0" collapsed="false">
      <c r="B1" s="1" t="s">
        <v>56</v>
      </c>
      <c r="C1" s="1"/>
      <c r="D1" s="1"/>
      <c r="E1" s="1"/>
    </row>
    <row r="3" customFormat="false" ht="15" hidden="false" customHeight="false" outlineLevel="0" collapsed="false">
      <c r="B3" s="31" t="s">
        <v>57</v>
      </c>
    </row>
    <row r="5" customFormat="false" ht="15" hidden="false" customHeight="false" outlineLevel="0" collapsed="false">
      <c r="B5" s="8" t="s">
        <v>14</v>
      </c>
      <c r="C5" s="9" t="s">
        <v>58</v>
      </c>
      <c r="D5" s="9" t="s">
        <v>59</v>
      </c>
      <c r="E5" s="9" t="s">
        <v>60</v>
      </c>
    </row>
    <row r="6" customFormat="false" ht="15" hidden="false" customHeight="false" outlineLevel="0" collapsed="false">
      <c r="B6" s="4" t="s">
        <v>61</v>
      </c>
      <c r="C6" s="5" t="n">
        <v>20</v>
      </c>
      <c r="D6" s="5" t="n">
        <v>48</v>
      </c>
      <c r="E6" s="5" t="n">
        <v>120</v>
      </c>
    </row>
    <row r="7" customFormat="false" ht="15" hidden="false" customHeight="false" outlineLevel="0" collapsed="false">
      <c r="B7" s="10" t="s">
        <v>62</v>
      </c>
      <c r="C7" s="11" t="n">
        <f aca="false">C6*Model!$C$7</f>
        <v>3.6</v>
      </c>
      <c r="D7" s="11" t="n">
        <f aca="false">D6*Model!$C$7</f>
        <v>8.64</v>
      </c>
      <c r="E7" s="11" t="n">
        <f aca="false">E6*Model!$C$7</f>
        <v>21.6</v>
      </c>
    </row>
    <row r="8" customFormat="false" ht="15" hidden="false" customHeight="false" outlineLevel="0" collapsed="false">
      <c r="B8" s="4" t="s">
        <v>24</v>
      </c>
      <c r="C8" s="13" t="n">
        <f aca="false">-(C6*Model!$C$8+Model!$C$9)</f>
        <v>-0.64</v>
      </c>
      <c r="D8" s="13" t="n">
        <f aca="false">-(D6*Model!$C$8+Model!$C$9)</f>
        <v>-1.116</v>
      </c>
      <c r="E8" s="13" t="n">
        <f aca="false">-(E6*Model!$C$8+Model!$C$9)</f>
        <v>-2.34</v>
      </c>
    </row>
    <row r="9" customFormat="false" ht="15" hidden="false" customHeight="false" outlineLevel="0" collapsed="false">
      <c r="B9" s="14" t="s">
        <v>26</v>
      </c>
      <c r="C9" s="15" t="n">
        <f aca="false">C7+C8</f>
        <v>2.96</v>
      </c>
      <c r="D9" s="15" t="n">
        <f aca="false">D7+D8</f>
        <v>7.524</v>
      </c>
      <c r="E9" s="15" t="n">
        <f aca="false">E7+E8</f>
        <v>19.26</v>
      </c>
    </row>
    <row r="10" customFormat="false" ht="15" hidden="false" customHeight="false" outlineLevel="0" collapsed="false">
      <c r="B10" s="4" t="s">
        <v>28</v>
      </c>
      <c r="C10" s="13" t="n">
        <f aca="false">C6-C7</f>
        <v>16.4</v>
      </c>
      <c r="D10" s="13" t="n">
        <f aca="false">D6-D7</f>
        <v>39.36</v>
      </c>
      <c r="E10" s="13" t="n">
        <f aca="false">E6-E7</f>
        <v>98.4</v>
      </c>
    </row>
    <row r="12" customFormat="false" ht="15" hidden="false" customHeight="false" outlineLevel="0" collapsed="false">
      <c r="B12" s="17" t="s">
        <v>63</v>
      </c>
      <c r="C12" s="20" t="n">
        <f aca="false">C9/C6</f>
        <v>0.148</v>
      </c>
      <c r="D12" s="20" t="n">
        <f aca="false">D9/D6</f>
        <v>0.15675</v>
      </c>
      <c r="E12" s="20" t="n">
        <f aca="false">E9/E6</f>
        <v>0.1605</v>
      </c>
    </row>
    <row r="14" customFormat="false" ht="15" hidden="false" customHeight="false" outlineLevel="0" collapsed="false">
      <c r="B14" s="31" t="s">
        <v>64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2026-06-27T02:10:20Z</dcterms:created>
  <dc:creator>openpyxl</dc:creator>
  <dc:description/>
  <dc:language>en-US</dc:language>
  <cp:lastModifiedBy/>
  <dcterms:modified xsi:type="dcterms:W3CDTF">2026-06-27T02:10:20Z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